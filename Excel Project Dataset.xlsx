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94C89D09-9086-4056-A65D-9CBD309DACE6}" xr6:coauthVersionLast="47" xr6:coauthVersionMax="47" xr10:uidLastSave="{00000000-0000-0000-0000-000000000000}"/>
  <bookViews>
    <workbookView xWindow="-120" yWindow="-120" windowWidth="20730" windowHeight="11160" xr2:uid="{00000000-000D-0000-FFFF-FFFF00000000}"/>
  </bookViews>
  <sheets>
    <sheet name="bike_buyers" sheetId="1" r:id="rId1"/>
    <sheet name="Work sheet" sheetId="2" r:id="rId2"/>
    <sheet name="Pivot Table" sheetId="3" r:id="rId3"/>
    <sheet name="Dashboard" sheetId="4" r:id="rId4"/>
  </sheets>
  <definedNames>
    <definedName name="_xlnm._FilterDatabase" localSheetId="0" hidden="1">bike_buyers!$A$1:$M$1001</definedName>
    <definedName name="Slicer_Education">#N/A</definedName>
    <definedName name="Slicer_Gender">#N/A</definedName>
    <definedName name="Slicer_Marit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<sst xmlns="http://schemas.openxmlformats.org/spreadsheetml/2006/main" count="16267" uniqueCount="51">
  <si>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</si>
  <si>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</si>
  <si>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</si>
  <si>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</si>
  <si>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</si>
  <si>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</si>
  <si>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</si>
  <si>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</si>
  <si>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</si>
  <si>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</si>
  <si>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</si>
  <si>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</si>
  <si>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</si>
  <si>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</si>
  <si>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</si>
  <si>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</si>
  <si>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</si>
  <si>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</si>
  <si>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</si>
  <si>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</si>
  <si>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</si>
  <si>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</si>
  <si>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</si>
  <si>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</si>
  <si>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</si>
  <si>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</si>
  <si>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</si>
  <si>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</si>
  <si>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</si>
  <si>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</si>
  <si>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</si>
  <si>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</si>
  <si>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</si>
  <si>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</si>
  <si>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</si>
  <si>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</si>
  <si>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</si>
  <si>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</si>
  <si>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</si>
  <si>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</si>
  <si>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</si>
  <si>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Average of Income</t>
  </si>
  <si>
    <t>Column Labels</t>
  </si>
  <si>
    <t>Grand Total</t>
  </si>
  <si>
    <t>Row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</si>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</sst>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0"/>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applyNumberFormat="1"/>
    <xf numFmtId="0" fontId="0" fillId="0" borderId="0" xfId="0" pivotButton="1"/>
    <xf numFmtId="0" fontId="0" fillId="0" borderId="0" xfId="0" applyAlignment="1">
      <alignment horizontal="left"/>
    </xf>
    <xf numFmtId="171" fontId="0" fillId="0" borderId="0" xfId="0" applyNumberFormat="1"/>
    <xf numFmtId="0" fontId="17" fillId="0" borderId="0" xfId="0" applyFon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4A73-4D7A-AF93-F2CD5D46181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4A73-4D7A-AF93-F2CD5D461813}"/>
            </c:ext>
          </c:extLst>
        </c:ser>
        <c:dLbls>
          <c:showLegendKey val="0"/>
          <c:showVal val="0"/>
          <c:showCatName val="0"/>
          <c:showSerName val="0"/>
          <c:showPercent val="0"/>
          <c:showBubbleSize val="0"/>
        </c:dLbls>
        <c:gapWidth val="219"/>
        <c:overlap val="-27"/>
        <c:axId val="2040669887"/>
        <c:axId val="2040666143"/>
      </c:barChart>
      <c:catAx>
        <c:axId val="2040669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666143"/>
        <c:crosses val="autoZero"/>
        <c:auto val="1"/>
        <c:lblAlgn val="ctr"/>
        <c:lblOffset val="100"/>
        <c:noMultiLvlLbl val="0"/>
      </c:catAx>
      <c:valAx>
        <c:axId val="2040666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669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351456692913386"/>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673-4614-A3DB-3FE6D9247897}"/>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673-4614-A3DB-3FE6D9247897}"/>
            </c:ext>
          </c:extLst>
        </c:ser>
        <c:dLbls>
          <c:showLegendKey val="0"/>
          <c:showVal val="0"/>
          <c:showCatName val="0"/>
          <c:showSerName val="0"/>
          <c:showPercent val="0"/>
          <c:showBubbleSize val="0"/>
        </c:dLbls>
        <c:smooth val="0"/>
        <c:axId val="2054136959"/>
        <c:axId val="2054143615"/>
      </c:lineChart>
      <c:catAx>
        <c:axId val="2054136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143615"/>
        <c:crosses val="autoZero"/>
        <c:auto val="1"/>
        <c:lblAlgn val="ctr"/>
        <c:lblOffset val="100"/>
        <c:noMultiLvlLbl val="0"/>
      </c:catAx>
      <c:valAx>
        <c:axId val="205414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13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Table'!$A$63:$A$66</c:f>
              <c:strCache>
                <c:ptCount val="3"/>
                <c:pt idx="0">
                  <c:v>Adolescent</c:v>
                </c:pt>
                <c:pt idx="1">
                  <c:v>Middle Age</c:v>
                </c:pt>
                <c:pt idx="2">
                  <c:v>Old</c:v>
                </c:pt>
              </c:strCache>
            </c:strRef>
          </c:cat>
          <c:val>
            <c:numRef>
              <c:f>'Pivot Table'!$B$63:$B$66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BCE-4403-96AD-85D708D1AEAA}"/>
            </c:ext>
          </c:extLst>
        </c:ser>
        <c:ser>
          <c:idx val="1"/>
          <c:order val="1"/>
          <c:tx>
            <c:strRef>
              <c:f>'Pivot Table'!$C$61:$C$62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Table'!$A$63:$A$66</c:f>
              <c:strCache>
                <c:ptCount val="3"/>
                <c:pt idx="0">
                  <c:v>Adolescent</c:v>
                </c:pt>
                <c:pt idx="1">
                  <c:v>Middle Age</c:v>
                </c:pt>
                <c:pt idx="2">
                  <c:v>Old</c:v>
                </c:pt>
              </c:strCache>
            </c:strRef>
          </c:cat>
          <c:val>
            <c:numRef>
              <c:f>'Pivot Table'!$C$63:$C$66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BCE-4403-96AD-85D708D1AEAA}"/>
            </c:ext>
          </c:extLst>
        </c:ser>
        <c:dLbls>
          <c:showLegendKey val="0"/>
          <c:showVal val="0"/>
          <c:showCatName val="0"/>
          <c:showSerName val="0"/>
          <c:showPercent val="0"/>
          <c:showBubbleSize val="0"/>
        </c:dLbls>
        <c:marker val="1"/>
        <c:smooth val="0"/>
        <c:axId val="131386735"/>
        <c:axId val="131387567"/>
      </c:lineChart>
      <c:catAx>
        <c:axId val="13138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87567"/>
        <c:crosses val="autoZero"/>
        <c:auto val="1"/>
        <c:lblAlgn val="ctr"/>
        <c:lblOffset val="100"/>
        <c:noMultiLvlLbl val="0"/>
      </c:catAx>
      <c:valAx>
        <c:axId val="13138756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8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Table'!$A$63:$A$66</c:f>
              <c:strCache>
                <c:ptCount val="3"/>
                <c:pt idx="0">
                  <c:v>Adolescent</c:v>
                </c:pt>
                <c:pt idx="1">
                  <c:v>Middle Age</c:v>
                </c:pt>
                <c:pt idx="2">
                  <c:v>Old</c:v>
                </c:pt>
              </c:strCache>
            </c:strRef>
          </c:cat>
          <c:val>
            <c:numRef>
              <c:f>'Pivot Table'!$B$63:$B$66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F99-4B9A-AD34-7AE7252F2B6E}"/>
            </c:ext>
          </c:extLst>
        </c:ser>
        <c:ser>
          <c:idx val="1"/>
          <c:order val="1"/>
          <c:tx>
            <c:strRef>
              <c:f>'Pivot Table'!$C$61:$C$62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Table'!$A$63:$A$66</c:f>
              <c:strCache>
                <c:ptCount val="3"/>
                <c:pt idx="0">
                  <c:v>Adolescent</c:v>
                </c:pt>
                <c:pt idx="1">
                  <c:v>Middle Age</c:v>
                </c:pt>
                <c:pt idx="2">
                  <c:v>Old</c:v>
                </c:pt>
              </c:strCache>
            </c:strRef>
          </c:cat>
          <c:val>
            <c:numRef>
              <c:f>'Pivot Table'!$C$63:$C$66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BF99-4B9A-AD34-7AE7252F2B6E}"/>
            </c:ext>
          </c:extLst>
        </c:ser>
        <c:dLbls>
          <c:showLegendKey val="0"/>
          <c:showVal val="0"/>
          <c:showCatName val="0"/>
          <c:showSerName val="0"/>
          <c:showPercent val="0"/>
          <c:showBubbleSize val="0"/>
        </c:dLbls>
        <c:marker val="1"/>
        <c:smooth val="0"/>
        <c:axId val="131386735"/>
        <c:axId val="131387567"/>
      </c:lineChart>
      <c:catAx>
        <c:axId val="13138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87567"/>
        <c:crosses val="autoZero"/>
        <c:auto val="1"/>
        <c:lblAlgn val="ctr"/>
        <c:lblOffset val="100"/>
        <c:noMultiLvlLbl val="0"/>
      </c:catAx>
      <c:valAx>
        <c:axId val="131387567"/>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8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layout>
        <c:manualLayout>
          <c:xMode val="edge"/>
          <c:yMode val="edge"/>
          <c:x val="0.3351456692913386"/>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97B-49FC-9167-05DFCFA97B12}"/>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97B-49FC-9167-05DFCFA97B12}"/>
            </c:ext>
          </c:extLst>
        </c:ser>
        <c:dLbls>
          <c:showLegendKey val="0"/>
          <c:showVal val="0"/>
          <c:showCatName val="0"/>
          <c:showSerName val="0"/>
          <c:showPercent val="0"/>
          <c:showBubbleSize val="0"/>
        </c:dLbls>
        <c:smooth val="0"/>
        <c:axId val="2054136959"/>
        <c:axId val="2054143615"/>
      </c:lineChart>
      <c:catAx>
        <c:axId val="2054136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143615"/>
        <c:crosses val="autoZero"/>
        <c:auto val="1"/>
        <c:lblAlgn val="ctr"/>
        <c:lblOffset val="100"/>
        <c:noMultiLvlLbl val="0"/>
      </c:catAx>
      <c:valAx>
        <c:axId val="205414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13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53440</c:v>
                </c:pt>
                <c:pt idx="1">
                  <c:v>56208.178438661707</c:v>
                </c:pt>
              </c:numCache>
            </c:numRef>
          </c:val>
          <c:extLst>
            <c:ext xmlns:c16="http://schemas.microsoft.com/office/drawing/2014/chart" uri="{C3380CC4-5D6E-409C-BE32-E72D297353CC}">
              <c16:uniqueId val="{00000000-BFD0-4C02-AED7-921EE2CAB76A}"/>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BFD0-4C02-AED7-921EE2CAB76A}"/>
            </c:ext>
          </c:extLst>
        </c:ser>
        <c:dLbls>
          <c:showLegendKey val="0"/>
          <c:showVal val="0"/>
          <c:showCatName val="0"/>
          <c:showSerName val="0"/>
          <c:showPercent val="0"/>
          <c:showBubbleSize val="0"/>
        </c:dLbls>
        <c:gapWidth val="219"/>
        <c:overlap val="-27"/>
        <c:axId val="2040669887"/>
        <c:axId val="2040666143"/>
      </c:barChart>
      <c:catAx>
        <c:axId val="2040669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666143"/>
        <c:crosses val="autoZero"/>
        <c:auto val="1"/>
        <c:lblAlgn val="ctr"/>
        <c:lblOffset val="100"/>
        <c:noMultiLvlLbl val="0"/>
      </c:catAx>
      <c:valAx>
        <c:axId val="20406661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6698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95250</xdr:colOff>
      <xdr:row>2</xdr:row>
      <xdr:rowOff>80962</xdr:rowOff>
    </xdr:from>
    <xdr:to>
      <xdr:col>8</xdr:col>
      <xdr:colOff>323850</xdr:colOff>
      <xdr:row>16</xdr:row>
      <xdr:rowOff>157162</xdr:rowOff>
    </xdr:to>
    <xdr:graphicFrame macro="">
      <xdr:nvGraphicFramePr>
        <xdr:cNvPr id="2" name="Chart 1">
          <a:extLst>
            <a:ext uri="{FF2B5EF4-FFF2-40B4-BE49-F238E27FC236}">
              <a16:creationId xmlns:a16="http://schemas.microsoft.com/office/drawing/2014/main" id="{2F0EE89D-6BED-4D35-A88A-EDC711FB98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400050</xdr:colOff>
      <xdr:row>19</xdr:row>
      <xdr:rowOff>128587</xdr:rowOff>
    </xdr:from>
    <xdr:to>
      <xdr:col>8</xdr:col>
      <xdr:colOff>628650</xdr:colOff>
      <xdr:row>34</xdr:row>
      <xdr:rowOff>14287</xdr:rowOff>
    </xdr:to>
    <xdr:graphicFrame macro="">
      <xdr:nvGraphicFramePr>
        <xdr:cNvPr id="3" name="Chart 2">
          <a:extLst>
            <a:ext uri="{FF2B5EF4-FFF2-40B4-BE49-F238E27FC236}">
              <a16:creationId xmlns:a16="http://schemas.microsoft.com/office/drawing/2014/main" id="{2F4B3790-E620-70A9-D380-808C3094E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285750</xdr:colOff>
      <xdr:row>62</xdr:row>
      <xdr:rowOff>109537</xdr:rowOff>
    </xdr:from>
    <xdr:to>
      <xdr:col>8</xdr:col>
      <xdr:colOff>514350</xdr:colOff>
      <xdr:row>76</xdr:row>
      <xdr:rowOff>185737</xdr:rowOff>
    </xdr:to>
    <xdr:graphicFrame macro="">
      <xdr:nvGraphicFramePr>
        <xdr:cNvPr id="4" name="Chart 3">
          <a:extLst>
            <a:ext uri="{FF2B5EF4-FFF2-40B4-BE49-F238E27FC236}">
              <a16:creationId xmlns:a16="http://schemas.microsoft.com/office/drawing/2014/main" id="{92523C63-9170-B200-A046-ECC481271A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392205</xdr:colOff>
      <xdr:row>4</xdr:row>
      <xdr:rowOff>1681</xdr:rowOff>
    </xdr:from>
    <xdr:to>
      <xdr:col>14</xdr:col>
      <xdr:colOff>0</xdr:colOff>
      <xdr:row>15</xdr:row>
      <xdr:rowOff>156882</xdr:rowOff>
    </xdr:to>
    <xdr:graphicFrame macro="">
      <xdr:nvGraphicFramePr>
        <xdr:cNvPr id="2" name="Chart 1">
          <a:extLst>
            <a:ext uri="{FF2B5EF4-FFF2-40B4-BE49-F238E27FC236}">
              <a16:creationId xmlns:a16="http://schemas.microsoft.com/office/drawing/2014/main" id="{7803F694-1C2E-4E46-8EF4-4744E9A5B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122464</xdr:colOff>
      <xdr:row>16</xdr:row>
      <xdr:rowOff>26334</xdr:rowOff>
    </xdr:from>
    <xdr:to>
      <xdr:col>14</xdr:col>
      <xdr:colOff>1</xdr:colOff>
      <xdr:row>30</xdr:row>
      <xdr:rowOff>67236</xdr:rowOff>
    </xdr:to>
    <xdr:graphicFrame macro="">
      <xdr:nvGraphicFramePr>
        <xdr:cNvPr id="3" name="Chart 2">
          <a:extLst>
            <a:ext uri="{FF2B5EF4-FFF2-40B4-BE49-F238E27FC236}">
              <a16:creationId xmlns:a16="http://schemas.microsoft.com/office/drawing/2014/main" id="{C337D01D-4775-474E-B939-1533B868F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136070</xdr:colOff>
      <xdr:row>4</xdr:row>
      <xdr:rowOff>12887</xdr:rowOff>
    </xdr:from>
    <xdr:to>
      <xdr:col>7</xdr:col>
      <xdr:colOff>316004</xdr:colOff>
      <xdr:row>15</xdr:row>
      <xdr:rowOff>156882</xdr:rowOff>
    </xdr:to>
    <xdr:graphicFrame macro="">
      <xdr:nvGraphicFramePr>
        <xdr:cNvPr id="4" name="Chart 3">
          <a:extLst>
            <a:ext uri="{FF2B5EF4-FFF2-40B4-BE49-F238E27FC236}">
              <a16:creationId xmlns:a16="http://schemas.microsoft.com/office/drawing/2014/main" id="{B7EA1906-1B39-440A-9236-D77FC0CF8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11206</xdr:colOff>
      <xdr:row>4</xdr:row>
      <xdr:rowOff>25774</xdr:rowOff>
    </xdr:from>
    <xdr:to>
      <xdr:col>2</xdr:col>
      <xdr:colOff>108856</xdr:colOff>
      <xdr:row>10</xdr:row>
      <xdr:rowOff>22411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30A9DB6C-D326-84DE-B360-FBDFCEA226B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206" y="787774"/>
              <a:ext cx="1322293" cy="11396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19051</xdr:rowOff>
    </xdr:from>
    <xdr:to>
      <xdr:col>2</xdr:col>
      <xdr:colOff>108857</xdr:colOff>
      <xdr:row>16</xdr:row>
      <xdr:rowOff>95251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E3713423-B83F-2341-8DAE-0D1134F022E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924051"/>
              <a:ext cx="13335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114302</xdr:rowOff>
    </xdr:from>
    <xdr:to>
      <xdr:col>2</xdr:col>
      <xdr:colOff>108857</xdr:colOff>
      <xdr:row>25</xdr:row>
      <xdr:rowOff>68038</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38D76156-CFA5-75A3-5AF2-204B231D467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162302"/>
              <a:ext cx="1333500" cy="16682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73480</xdr:rowOff>
    </xdr:from>
    <xdr:to>
      <xdr:col>2</xdr:col>
      <xdr:colOff>108857</xdr:colOff>
      <xdr:row>30</xdr:row>
      <xdr:rowOff>68036</xdr:rowOff>
    </xdr:to>
    <mc:AlternateContent xmlns:mc="http://schemas.openxmlformats.org/markup-compatibility/2006">
      <mc:Choice xmlns:a14="http://schemas.microsoft.com/office/drawing/2010/main" Requires="a14">
        <xdr:graphicFrame macro="">
          <xdr:nvGraphicFramePr>
            <xdr:cNvPr id="8" name="Gender">
              <a:extLst>
                <a:ext uri="{FF2B5EF4-FFF2-40B4-BE49-F238E27FC236}">
                  <a16:creationId xmlns:a16="http://schemas.microsoft.com/office/drawing/2014/main" id="{DC46D123-AD99-455E-BDF1-79BF315712A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4835980"/>
              <a:ext cx="1333500" cy="947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53.584305208336" createdVersion="8" refreshedVersion="8" minRefreshableVersion="3" recordCount="1000" xr:uid="{CC5FAFCF-3563-4B25-90BC-558D4E50025C}">
  <cacheSource type="worksheet">
    <worksheetSource ref="A1:N1001" sheet="Work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75666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67D970-21F3-4E30-BDF3-ED72EC3D16CF}"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1:D66" firstHeaderRow="1" firstDataRow="2" firstDataCol="1"/>
  <pivotFields count="14">
    <pivotField showAll="0"/>
    <pivotField showAll="0">
      <items count="3">
        <item x="0"/>
        <item x="1"/>
        <item t="default"/>
      </items>
    </pivotField>
    <pivotField showAll="0">
      <items count="3">
        <item x="0"/>
        <item x="1"/>
        <item t="default"/>
      </items>
    </pivotField>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CE65EC-88D8-475A-BC94-CD336C874FD1}"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D30" firstHeaderRow="1" firstDataRow="2" firstDataCol="1"/>
  <pivotFields count="14">
    <pivotField showAll="0"/>
    <pivotField showAll="0">
      <items count="3">
        <item x="0"/>
        <item x="1"/>
        <item t="default"/>
      </items>
    </pivotField>
    <pivotField showAll="0">
      <items count="3">
        <item x="0"/>
        <item x="1"/>
        <item t="default"/>
      </items>
    </pivotField>
    <pivotField numFmtId="167"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307DD7-8344-4264-994A-68C98C9B70B8}"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1"/>
  </dataFields>
  <formats count="1">
    <format dxfId="25">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068BF3D-F792-415E-B9AC-CFCA992979EA}" sourceName="Marital Status">
  <pivotTables>
    <pivotTable tabId="3" name="PivotTable2"/>
    <pivotTable tabId="3" name="PivotTable3"/>
    <pivotTable tabId="3" name="PivotTable4"/>
  </pivotTables>
  <data>
    <tabular pivotCacheId="9756669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51F881-12AD-4FAB-895F-4D255A5F8069}" sourceName="Region">
  <pivotTables>
    <pivotTable tabId="3" name="PivotTable2"/>
    <pivotTable tabId="3" name="PivotTable3"/>
    <pivotTable tabId="3" name="PivotTable4"/>
  </pivotTables>
  <data>
    <tabular pivotCacheId="97566695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AC06BC1-05B3-438A-85FB-A29A09A89D87}" sourceName="Education">
  <pivotTables>
    <pivotTable tabId="3" name="PivotTable2"/>
    <pivotTable tabId="3" name="PivotTable3"/>
    <pivotTable tabId="3" name="PivotTable4"/>
  </pivotTables>
  <data>
    <tabular pivotCacheId="975666952">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9209030-5B91-41DF-990C-007C82E62E08}" sourceName="Gender">
  <pivotTables>
    <pivotTable tabId="3" name="PivotTable2"/>
    <pivotTable tabId="3" name="PivotTable3"/>
    <pivotTable tabId="3" name="PivotTable4"/>
  </pivotTables>
  <data>
    <tabular pivotCacheId="97566695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C045BFBD-6645-4353-B4B0-5454C0891AFD}" cache="Slicer_Marital_Status" caption="Marital Status" rowHeight="241300"/>
  <slicer name="Region" xr10:uid="{FE416321-0445-448D-9A29-BF44704C2B24}" cache="Slicer_Region" caption="Region" rowHeight="241300"/>
  <slicer name="Education" xr10:uid="{D77CC646-C5C1-47ED-840D-7F420A6DB812}" cache="Slicer_Education" caption="Education" rowHeight="241300"/>
  <slicer name="Gender" xr10:uid="{976624F4-629F-4150-B09D-448AAC814874}"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O8" sqref="O8"/>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342F6-29C4-492D-A4D5-BC4C60D1C255}">
  <dimension ref="A1:N1001"/>
  <sheetViews>
    <sheetView workbookViewId="0">
      <selection activeCell="O996" sqref="O996"/>
    </sheetView>
  </sheetViews>
  <sheetFormatPr defaultColWidth="11.85546875" defaultRowHeight="15" x14ac:dyDescent="0.25"/>
  <cols>
    <col min="1" max="1" width="6" bestFit="1" customWidth="1"/>
    <col min="2" max="2" width="13.28515625" bestFit="1" customWidth="1"/>
    <col min="3" max="3" width="7.5703125" bestFit="1" customWidth="1"/>
    <col min="4" max="4" width="12.140625" style="3"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5.5703125" customWidth="1"/>
    <col min="13" max="13" width="11.42578125" bestFit="1" customWidth="1"/>
    <col min="14" max="14" width="14.5703125" bestFit="1"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IF(L2&gt;54, "Old", IF(L2&gt;=31, "Middle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 "Old", IF(L3&gt;=31, "Middle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 "Old", IF(L67&gt;=31, "Middle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 "Old", IF(L131&gt;=31, "Middle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46</v>
      </c>
      <c r="K195" t="s">
        <v>24</v>
      </c>
      <c r="L195">
        <v>41</v>
      </c>
      <c r="M195" t="str">
        <f t="shared" ref="M195:M258" si="3">IF(L195&gt;54, "Old", IF(L195&gt;=31, "Middle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 "Old", IF(L259&gt;=31, "Middle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 "Old", IF(L323&gt;=31, "Middle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 "Old", IF(L387&gt;=31, "Middle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 "Old", IF(L451&gt;=31, "Middle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46</v>
      </c>
      <c r="K515" t="s">
        <v>32</v>
      </c>
      <c r="L515">
        <v>61</v>
      </c>
      <c r="M515" t="str">
        <f t="shared" ref="M515:M578" si="8">IF(L515&gt;54, "Old", IF(L515&gt;=31, "Middle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 "Old", IF(L579&gt;=31, "Middle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46</v>
      </c>
      <c r="K643" t="s">
        <v>32</v>
      </c>
      <c r="L643">
        <v>64</v>
      </c>
      <c r="M643" t="str">
        <f t="shared" ref="M643:M706" si="10">IF(L643&gt;54, "Old", IF(L643&gt;=31, "Middle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46</v>
      </c>
      <c r="K707" t="s">
        <v>32</v>
      </c>
      <c r="L707">
        <v>59</v>
      </c>
      <c r="M707" t="str">
        <f t="shared" ref="M707:M770" si="11">IF(L707&gt;54, "Old", IF(L707&gt;=31, "Middle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 "Old", IF(L771&gt;=31, "Middle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 "Old", IF(L835&gt;=31, "Middle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 "Old", IF(L899&gt;=31, "Middle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 "Old", IF(L963&gt;=31, "Middle Age",IF(L963&lt;31,"Adolescent","Invalid")))</f>
        <v>Old</v>
      </c>
      <c r="N963" t="s">
        <v>18</v>
      </c>
    </row>
    <row r="964" spans="1:14" x14ac:dyDescent="0.2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F9A05-BC73-41A9-B830-2F4CF36031FB}">
  <dimension ref="A1:D66"/>
  <sheetViews>
    <sheetView workbookViewId="0">
      <selection activeCell="C1" sqref="C1:C1048576"/>
    </sheetView>
  </sheetViews>
  <sheetFormatPr defaultRowHeight="15" x14ac:dyDescent="0.25"/>
  <cols>
    <col min="1" max="1" width="22.85546875" bestFit="1" customWidth="1"/>
    <col min="2" max="2" width="16.28515625" bestFit="1" customWidth="1"/>
    <col min="3" max="3" width="8.42578125" customWidth="1"/>
    <col min="4" max="4" width="11.28515625" bestFit="1" customWidth="1"/>
    <col min="5" max="16" width="16.28515625" bestFit="1" customWidth="1"/>
    <col min="17" max="17" width="11.28515625" bestFit="1" customWidth="1"/>
  </cols>
  <sheetData>
    <row r="1" spans="1:4" x14ac:dyDescent="0.25">
      <c r="A1" s="5" t="s">
        <v>41</v>
      </c>
      <c r="B1" s="5" t="s">
        <v>42</v>
      </c>
    </row>
    <row r="2" spans="1:4" x14ac:dyDescent="0.25">
      <c r="A2" s="5" t="s">
        <v>44</v>
      </c>
      <c r="B2" t="s">
        <v>18</v>
      </c>
      <c r="C2" t="s">
        <v>15</v>
      </c>
      <c r="D2" t="s">
        <v>43</v>
      </c>
    </row>
    <row r="3" spans="1:4" x14ac:dyDescent="0.25">
      <c r="A3" s="6" t="s">
        <v>38</v>
      </c>
      <c r="B3" s="7">
        <v>53440</v>
      </c>
      <c r="C3" s="7">
        <v>55774.058577405856</v>
      </c>
      <c r="D3" s="7">
        <v>54580.777096114522</v>
      </c>
    </row>
    <row r="4" spans="1:4" x14ac:dyDescent="0.25">
      <c r="A4" s="6" t="s">
        <v>39</v>
      </c>
      <c r="B4" s="7">
        <v>56208.178438661707</v>
      </c>
      <c r="C4" s="7">
        <v>60123.966942148763</v>
      </c>
      <c r="D4" s="7">
        <v>58062.62230919765</v>
      </c>
    </row>
    <row r="5" spans="1:4" x14ac:dyDescent="0.25">
      <c r="A5" s="6" t="s">
        <v>43</v>
      </c>
      <c r="B5" s="7">
        <v>54874.759152215796</v>
      </c>
      <c r="C5" s="7">
        <v>57962.577962577961</v>
      </c>
      <c r="D5" s="7">
        <v>56360</v>
      </c>
    </row>
    <row r="23" spans="1:4" x14ac:dyDescent="0.25">
      <c r="A23" s="5" t="s">
        <v>45</v>
      </c>
      <c r="B23" s="5" t="s">
        <v>42</v>
      </c>
    </row>
    <row r="24" spans="1:4" x14ac:dyDescent="0.25">
      <c r="A24" s="5" t="s">
        <v>44</v>
      </c>
      <c r="B24" t="s">
        <v>18</v>
      </c>
      <c r="C24" t="s">
        <v>15</v>
      </c>
      <c r="D24" t="s">
        <v>43</v>
      </c>
    </row>
    <row r="25" spans="1:4" x14ac:dyDescent="0.25">
      <c r="A25" s="6" t="s">
        <v>16</v>
      </c>
      <c r="B25" s="4">
        <v>166</v>
      </c>
      <c r="C25" s="4">
        <v>200</v>
      </c>
      <c r="D25" s="4">
        <v>366</v>
      </c>
    </row>
    <row r="26" spans="1:4" x14ac:dyDescent="0.25">
      <c r="A26" s="6" t="s">
        <v>26</v>
      </c>
      <c r="B26" s="4">
        <v>92</v>
      </c>
      <c r="C26" s="4">
        <v>77</v>
      </c>
      <c r="D26" s="4">
        <v>169</v>
      </c>
    </row>
    <row r="27" spans="1:4" x14ac:dyDescent="0.25">
      <c r="A27" s="6" t="s">
        <v>22</v>
      </c>
      <c r="B27" s="4">
        <v>67</v>
      </c>
      <c r="C27" s="4">
        <v>95</v>
      </c>
      <c r="D27" s="4">
        <v>162</v>
      </c>
    </row>
    <row r="28" spans="1:4" x14ac:dyDescent="0.25">
      <c r="A28" s="6" t="s">
        <v>23</v>
      </c>
      <c r="B28" s="4">
        <v>116</v>
      </c>
      <c r="C28" s="4">
        <v>76</v>
      </c>
      <c r="D28" s="4">
        <v>192</v>
      </c>
    </row>
    <row r="29" spans="1:4" x14ac:dyDescent="0.25">
      <c r="A29" s="6" t="s">
        <v>46</v>
      </c>
      <c r="B29" s="4">
        <v>78</v>
      </c>
      <c r="C29" s="4">
        <v>33</v>
      </c>
      <c r="D29" s="4">
        <v>111</v>
      </c>
    </row>
    <row r="30" spans="1:4" x14ac:dyDescent="0.25">
      <c r="A30" s="6" t="s">
        <v>43</v>
      </c>
      <c r="B30" s="4">
        <v>519</v>
      </c>
      <c r="C30" s="4">
        <v>481</v>
      </c>
      <c r="D30" s="4">
        <v>1000</v>
      </c>
    </row>
    <row r="61" spans="1:4" x14ac:dyDescent="0.25">
      <c r="A61" s="5" t="s">
        <v>45</v>
      </c>
      <c r="B61" s="5" t="s">
        <v>42</v>
      </c>
    </row>
    <row r="62" spans="1:4" x14ac:dyDescent="0.25">
      <c r="A62" s="5" t="s">
        <v>44</v>
      </c>
      <c r="B62" t="s">
        <v>18</v>
      </c>
      <c r="C62" t="s">
        <v>15</v>
      </c>
      <c r="D62" t="s">
        <v>43</v>
      </c>
    </row>
    <row r="63" spans="1:4" x14ac:dyDescent="0.25">
      <c r="A63" s="6" t="s">
        <v>47</v>
      </c>
      <c r="B63" s="4">
        <v>71</v>
      </c>
      <c r="C63" s="4">
        <v>39</v>
      </c>
      <c r="D63" s="4">
        <v>110</v>
      </c>
    </row>
    <row r="64" spans="1:4" x14ac:dyDescent="0.25">
      <c r="A64" s="6" t="s">
        <v>48</v>
      </c>
      <c r="B64" s="4">
        <v>318</v>
      </c>
      <c r="C64" s="4">
        <v>383</v>
      </c>
      <c r="D64" s="4">
        <v>701</v>
      </c>
    </row>
    <row r="65" spans="1:4" x14ac:dyDescent="0.25">
      <c r="A65" s="6" t="s">
        <v>49</v>
      </c>
      <c r="B65" s="4">
        <v>130</v>
      </c>
      <c r="C65" s="4">
        <v>59</v>
      </c>
      <c r="D65" s="4">
        <v>189</v>
      </c>
    </row>
    <row r="66" spans="1:4" x14ac:dyDescent="0.25">
      <c r="A66" s="6" t="s">
        <v>43</v>
      </c>
      <c r="B66" s="4">
        <v>519</v>
      </c>
      <c r="C66" s="4">
        <v>481</v>
      </c>
      <c r="D66"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E22F4-AD60-44E0-9060-E173164BB73A}">
  <dimension ref="A1:O4"/>
  <sheetViews>
    <sheetView showGridLines="0" zoomScale="70" zoomScaleNormal="70" workbookViewId="0">
      <selection activeCell="U20" sqref="U20"/>
    </sheetView>
  </sheetViews>
  <sheetFormatPr defaultRowHeight="15" x14ac:dyDescent="0.25"/>
  <sheetData>
    <row r="1" spans="1:15" ht="15" customHeight="1" x14ac:dyDescent="0.25">
      <c r="A1" s="9" t="s">
        <v>50</v>
      </c>
      <c r="B1" s="9"/>
      <c r="C1" s="9"/>
      <c r="D1" s="9"/>
      <c r="E1" s="9"/>
      <c r="F1" s="9"/>
      <c r="G1" s="9"/>
      <c r="H1" s="9"/>
      <c r="I1" s="9"/>
      <c r="J1" s="9"/>
      <c r="K1" s="9"/>
      <c r="L1" s="9"/>
      <c r="M1" s="9"/>
      <c r="N1" s="9"/>
    </row>
    <row r="2" spans="1:15" ht="15" customHeight="1" x14ac:dyDescent="0.25">
      <c r="A2" s="9"/>
      <c r="B2" s="9"/>
      <c r="C2" s="9"/>
      <c r="D2" s="9"/>
      <c r="E2" s="9"/>
      <c r="F2" s="9"/>
      <c r="G2" s="9"/>
      <c r="H2" s="9"/>
      <c r="I2" s="9"/>
      <c r="J2" s="9"/>
      <c r="K2" s="9"/>
      <c r="L2" s="9"/>
      <c r="M2" s="9"/>
      <c r="N2" s="9"/>
    </row>
    <row r="3" spans="1:15" ht="15" customHeight="1" x14ac:dyDescent="0.25">
      <c r="A3" s="9"/>
      <c r="B3" s="9"/>
      <c r="C3" s="9"/>
      <c r="D3" s="9"/>
      <c r="E3" s="9"/>
      <c r="F3" s="9"/>
      <c r="G3" s="9"/>
      <c r="H3" s="9"/>
      <c r="I3" s="9"/>
      <c r="J3" s="9"/>
      <c r="K3" s="9"/>
      <c r="L3" s="9"/>
      <c r="M3" s="9"/>
      <c r="N3" s="9"/>
      <c r="O3" s="8"/>
    </row>
    <row r="4" spans="1:15" ht="15" customHeight="1" x14ac:dyDescent="0.25">
      <c r="A4" s="9"/>
      <c r="B4" s="9"/>
      <c r="C4" s="9"/>
      <c r="D4" s="9"/>
      <c r="E4" s="9"/>
      <c r="F4" s="9"/>
      <c r="G4" s="9"/>
      <c r="H4" s="9"/>
      <c r="I4" s="9"/>
      <c r="J4" s="9"/>
      <c r="K4" s="9"/>
      <c r="L4" s="9"/>
      <c r="M4" s="9"/>
      <c r="N4" s="9"/>
    </row>
  </sheetData>
  <mergeCells count="1">
    <mergeCell ref="A1:N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2022-07-11T13:59:30Z</dcterms:modified>
</cp:coreProperties>
</file>